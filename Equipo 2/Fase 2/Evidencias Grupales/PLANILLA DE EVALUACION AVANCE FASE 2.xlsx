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SM2-2025\CAPSTONE PTY4614-006V\Grupos\Grupo 2  Araneda Guzman A.Gonzalez\Fase 2\Evidencias Grupales\"/>
    </mc:Choice>
  </mc:AlternateContent>
  <xr:revisionPtr revIDLastSave="0" documentId="13_ncr:1_{CDD71827-FDBE-4681-B9D4-02AF02718E03}" xr6:coauthVersionLast="47" xr6:coauthVersionMax="47" xr10:uidLastSave="{00000000-0000-0000-0000-000000000000}"/>
  <bookViews>
    <workbookView xWindow="2868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<sst xmlns="http://schemas.openxmlformats.org/spreadsheetml/2006/main" count="84" uniqueCount="66">
  <si>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</si>
  <si>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</si>
  <si>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</si>
  <si>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</si>
  <si>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</si>
  <si>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</si>
  <si>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</si>
  <si>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</si>
  <si>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</si>
  <si>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</si>
  <si>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</si>
  <si>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</si>
  <si>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</si>
  <si>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</si>
  <si>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</si>
  <si>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</si>
  <si>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</si>
  <si>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</si>
  <si>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</si>
  <si>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</si>
  <si>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</si>
  <si>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</si>
  <si>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</si>
  <si>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</si>
  <si>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</si>
  <si>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</si>
  <si>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</si>
  <si>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</si>
  <si>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</si>
  <si>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</si>
  <si>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</si>
  <si>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</si>
  <si>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</si>
  <si>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</si>
  <si>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</si>
  <si>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</si>
  <si>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</si>
  <si>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</si>
  <si>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</si>
  <si>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</si>
  <si>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</si>
  <si>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</si>
  <si>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</si>
  <si>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</si>
  <si>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</si>
  <si>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</si>
  <si>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</si>
  <si>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</si>
  <si>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</si>
  <si>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</si>
  <si>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</si>
  <si>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</si>
  <si>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</si>
  <si>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</si>
  <si>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</si>
  <si>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</si>
  <si>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</si>
  <si>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</si>
  <si>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</si>
  <si>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</si>
  <si>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</si>
  <si>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</si>
  <si>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</si>
  <si>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JUAN RAMON ARANEDA URZUA</t>
  </si>
  <si>
    <t>PEDRO GUZMAN HONORES</t>
  </si>
  <si>
    <t>ANA MARIA GONZALEZ ROJAS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</si>
</sst>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92D05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7" fillId="7" borderId="1" xfId="0" applyFont="1" applyFill="1" applyBorder="1" applyAlignment="1">
      <alignment horizontal="center"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4" zoomScale="130" zoomScaleNormal="130" workbookViewId="0">
      <selection activeCell="C16" sqref="C1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6.7</v>
      </c>
      <c r="G4" s="1"/>
    </row>
    <row r="5" spans="1:11">
      <c r="A5" s="4">
        <v>2</v>
      </c>
      <c r="B5" s="25" t="s">
        <v>64</v>
      </c>
      <c r="C5" s="5">
        <f>EVALUACION2!$C$22</f>
        <v>6.7</v>
      </c>
      <c r="G5" s="1"/>
    </row>
    <row r="6" spans="1:11">
      <c r="A6" s="4">
        <v>3</v>
      </c>
      <c r="B6" s="25" t="s">
        <v>65</v>
      </c>
      <c r="C6" s="5">
        <f>EVALUACION2!$C$22</f>
        <v>6.7</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59" t="str">
        <f t="shared" si="0"/>
        <v>X</v>
      </c>
      <c r="E15" s="59">
        <f>IF(D15="X",100*0.25,"")</f>
        <v>25</v>
      </c>
      <c r="F15" s="15" t="str">
        <f t="shared" si="1"/>
        <v/>
      </c>
      <c r="G15" s="15" t="str">
        <f>IF(F15="X",60*0.25,"")</f>
        <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6</v>
      </c>
      <c r="D16" s="15" t="str">
        <f t="shared" si="0"/>
        <v/>
      </c>
      <c r="E16" s="15" t="str">
        <f>IF(D16="X",100*0.05,"")</f>
        <v/>
      </c>
      <c r="F16" s="15" t="str">
        <f t="shared" si="1"/>
        <v>X</v>
      </c>
      <c r="G16" s="15">
        <f>IF(F16="X",60*0.05,"")</f>
        <v>3</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6</v>
      </c>
      <c r="D17" s="15" t="str">
        <f t="shared" si="0"/>
        <v/>
      </c>
      <c r="E17" s="15" t="str">
        <f>IF(D17="X",100*0.05,"")</f>
        <v/>
      </c>
      <c r="F17" s="15" t="str">
        <f t="shared" si="1"/>
        <v>X</v>
      </c>
      <c r="G17" s="15">
        <f>IF(F17="X",60*0.05,"")</f>
        <v>3</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59" t="str">
        <f>IF($C18=CL,"X","")</f>
        <v>X</v>
      </c>
      <c r="E18" s="59">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59" t="str">
        <f>IF($C19=CL,"X","")</f>
        <v>X</v>
      </c>
      <c r="E19" s="59">
        <f>IF(D19="X",100*0.15,"")</f>
        <v>15</v>
      </c>
      <c r="F19" s="15" t="str">
        <f>IF($C19=L,"X","")</f>
        <v/>
      </c>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59" t="str">
        <f>IF($C20=CL,"X","")</f>
        <v>X</v>
      </c>
      <c r="E20" s="59">
        <f>IF(D20="X",100*0.1,"")</f>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96</v>
      </c>
      <c r="D21" s="16"/>
      <c r="E21" s="16">
        <f>SUM(E13:E20)</f>
        <v>90</v>
      </c>
      <c r="F21" s="16"/>
      <c r="G21" s="16">
        <f>SUM(G13:G20)</f>
        <v>6</v>
      </c>
      <c r="H21" s="16"/>
      <c r="I21" s="16">
        <f>SUM(I13:I20)</f>
        <v>0</v>
      </c>
      <c r="J21" s="16"/>
      <c r="K21" s="16">
        <f>SUM(K13:K20)</f>
        <v>0</v>
      </c>
    </row>
    <row r="22" spans="1:11" ht="15.75" customHeight="1" outlineLevel="1">
      <c r="A22" s="43"/>
      <c r="B22" s="30" t="s">
        <v>13</v>
      </c>
      <c r="C22" s="17">
        <f>VLOOKUP(C21,ESCALA_IEP!A2:B202,2,FALSE)</f>
        <v>6.7</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Vina del Mar</cp:lastModifiedBy>
  <dcterms:created xsi:type="dcterms:W3CDTF">2023-08-07T04:08:01Z</dcterms:created>
  <dcterms:modified xsi:type="dcterms:W3CDTF">2025-10-22T22:57:21Z</dcterms:modified>
</cp:coreProperties>
</file>